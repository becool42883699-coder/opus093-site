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価格表" sheetId="1" state="visible" r:id="rId3"/>
    <sheet name="見積書" sheetId="2" state="visible" r:id="rId4"/>
  </sheets>
  <definedNames>
    <definedName function="false" hidden="false" localSheetId="0" name="_xlnm.Print_Titles" vbProcedure="false">価格表!$6:$7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<sst xmlns="http://schemas.openxmlformats.org/spreadsheetml/2006/main" count="252" uniqueCount="123">
  <si>
    <t xml:space="preserve">板金・塗装 価格表</t>
  </si>
  <si>
    <t xml:space="preserve">店舗名</t>
  </si>
  <si>
    <t xml:space="preserve">改定日</t>
  </si>
  <si>
    <t xml:space="preserve">消費税率</t>
  </si>
  <si>
    <r>
      <rPr>
        <sz val="9"/>
        <color rgb="FF5B6672"/>
        <rFont val="WenQuanYi Zen Hei"/>
        <family val="2"/>
      </rPr>
      <t xml:space="preserve">■ 使い方：黄色のセル（普通車 </t>
    </r>
    <r>
      <rPr>
        <sz val="9"/>
        <color rgb="FF5B6672"/>
        <rFont val="MS PGothic"/>
        <family val="0"/>
        <charset val="1"/>
      </rPr>
      <t xml:space="preserve">/ 2t</t>
    </r>
    <r>
      <rPr>
        <sz val="9"/>
        <color rgb="FF5B6672"/>
        <rFont val="WenQuanYi Zen Hei"/>
        <family val="2"/>
      </rPr>
      <t xml:space="preserve">トラック </t>
    </r>
    <r>
      <rPr>
        <sz val="9"/>
        <color rgb="FF5B6672"/>
        <rFont val="MS PGothic"/>
        <family val="0"/>
        <charset val="1"/>
      </rPr>
      <t xml:space="preserve">/ 4t</t>
    </r>
    <r>
      <rPr>
        <sz val="9"/>
        <color rgb="FF5B6672"/>
        <rFont val="WenQuanYi Zen Hei"/>
        <family val="2"/>
      </rPr>
      <t xml:space="preserve">トラック の列）に税抜の金額を入力してください。数式は入っていないので上書きして構いません。</t>
    </r>
  </si>
  <si>
    <r>
      <rPr>
        <sz val="9"/>
        <color rgb="FF5B6672"/>
        <rFont val="WenQuanYi Zen Hei"/>
        <family val="2"/>
      </rPr>
      <t xml:space="preserve">■ グレーの「−」は該当なしの想定です。取り扱う場合は上書きして金額を入力できます。</t>
    </r>
    <r>
      <rPr>
        <sz val="9"/>
        <color rgb="FF5B6672"/>
        <rFont val="MS PGothic"/>
        <family val="0"/>
        <charset val="1"/>
      </rPr>
      <t xml:space="preserve">8</t>
    </r>
    <r>
      <rPr>
        <sz val="9"/>
        <color rgb="FF5B6672"/>
        <rFont val="WenQuanYi Zen Hei"/>
        <family val="2"/>
      </rPr>
      <t xml:space="preserve">行目は記入例です（不要なら行ごと削除してください）。</t>
    </r>
  </si>
  <si>
    <t xml:space="preserve">■ 表示は税抜の目安です。損傷の程度・車両の状態・部品代により変動します。部品代・材料費は別途実費。「見積書」シートでこの表から単価を呼び出せます。</t>
  </si>
  <si>
    <t xml:space="preserve">No.</t>
  </si>
  <si>
    <t xml:space="preserve">区分</t>
  </si>
  <si>
    <t xml:space="preserve">作業内容</t>
  </si>
  <si>
    <t xml:space="preserve">単位</t>
  </si>
  <si>
    <t xml:space="preserve">単価（税抜・円）</t>
  </si>
  <si>
    <t xml:space="preserve">作業日数目安</t>
  </si>
  <si>
    <t xml:space="preserve">備考</t>
  </si>
  <si>
    <t xml:space="preserve">普通車</t>
  </si>
  <si>
    <r>
      <rPr>
        <b val="true"/>
        <sz val="10"/>
        <color rgb="FFFFFFFF"/>
        <rFont val="MS PGothic"/>
        <family val="0"/>
        <charset val="1"/>
      </rPr>
      <t xml:space="preserve">2t</t>
    </r>
    <r>
      <rPr>
        <b val="true"/>
        <sz val="10"/>
        <color rgb="FFFFFFFF"/>
        <rFont val="WenQuanYi Zen Hei"/>
        <family val="2"/>
      </rPr>
      <t xml:space="preserve">トラック</t>
    </r>
  </si>
  <si>
    <r>
      <rPr>
        <b val="true"/>
        <sz val="10"/>
        <color rgb="FFFFFFFF"/>
        <rFont val="MS PGothic"/>
        <family val="0"/>
        <charset val="1"/>
      </rPr>
      <t xml:space="preserve">4t</t>
    </r>
    <r>
      <rPr>
        <b val="true"/>
        <sz val="10"/>
        <color rgb="FFFFFFFF"/>
        <rFont val="WenQuanYi Zen Hei"/>
        <family val="2"/>
      </rPr>
      <t xml:space="preserve">トラック</t>
    </r>
  </si>
  <si>
    <t xml:space="preserve">例</t>
  </si>
  <si>
    <t xml:space="preserve">板金（キズ・凹み）</t>
  </si>
  <si>
    <t xml:space="preserve">（記入例）バンパーの擦りキズ修理</t>
  </si>
  <si>
    <r>
      <rPr>
        <i val="true"/>
        <sz val="10"/>
        <color rgb="FF7A828C"/>
        <rFont val="MS PGothic"/>
        <family val="0"/>
        <charset val="1"/>
      </rPr>
      <t xml:space="preserve">1</t>
    </r>
    <r>
      <rPr>
        <i val="true"/>
        <sz val="10"/>
        <color rgb="FF7A828C"/>
        <rFont val="WenQuanYi Zen Hei"/>
        <family val="2"/>
      </rPr>
      <t xml:space="preserve">箇所</t>
    </r>
  </si>
  <si>
    <r>
      <rPr>
        <i val="true"/>
        <sz val="10"/>
        <color rgb="FF7A828C"/>
        <rFont val="MS PGothic"/>
        <family val="0"/>
        <charset val="1"/>
      </rPr>
      <t xml:space="preserve">1</t>
    </r>
    <r>
      <rPr>
        <i val="true"/>
        <sz val="10"/>
        <color rgb="FF7A828C"/>
        <rFont val="WenQuanYi Zen Hei"/>
        <family val="2"/>
      </rPr>
      <t xml:space="preserve">日</t>
    </r>
  </si>
  <si>
    <t xml:space="preserve">この行は記入例です</t>
  </si>
  <si>
    <r>
      <rPr>
        <sz val="10"/>
        <color rgb="FF1F2933"/>
        <rFont val="WenQuanYi Zen Hei"/>
        <family val="2"/>
      </rPr>
      <t xml:space="preserve">小キズ・擦りキズ修理（</t>
    </r>
    <r>
      <rPr>
        <sz val="10"/>
        <color rgb="FF1F2933"/>
        <rFont val="MS PGothic"/>
        <family val="0"/>
        <charset val="1"/>
      </rPr>
      <t xml:space="preserve">10cm</t>
    </r>
    <r>
      <rPr>
        <sz val="10"/>
        <color rgb="FF1F2933"/>
        <rFont val="WenQuanYi Zen Hei"/>
        <family val="2"/>
      </rPr>
      <t xml:space="preserve">程度）</t>
    </r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</si>
  <si>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箇所</t>
    </r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</si>
  <si>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日</t>
    </r>
  </si>
  <si>
    <t xml:space="preserve">塗装込み</t>
  </si>
  <si>
    <r>
      <rPr>
        <sz val="10"/>
        <color rgb="FF1F2933"/>
        <rFont val="WenQuanYi Zen Hei"/>
        <family val="2"/>
      </rPr>
      <t xml:space="preserve">凹み修理（直径</t>
    </r>
    <r>
      <rPr>
        <sz val="10"/>
        <color rgb="FF1F2933"/>
        <rFont val="MS PGothic"/>
        <family val="0"/>
        <charset val="1"/>
      </rPr>
      <t xml:space="preserve">10cm</t>
    </r>
    <r>
      <rPr>
        <sz val="10"/>
        <color rgb="FF1F2933"/>
        <rFont val="WenQuanYi Zen Hei"/>
        <family val="2"/>
      </rPr>
      <t xml:space="preserve">程度）</t>
    </r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</si>
  <si>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2</t>
    </r>
    <r>
      <rPr>
        <sz val="10"/>
        <color rgb="FF1F2933"/>
        <rFont val="WenQuanYi Zen Hei"/>
        <family val="2"/>
      </rPr>
      <t xml:space="preserve">日</t>
    </r>
  </si>
  <si>
    <r>
      <rPr>
        <sz val="10"/>
        <color rgb="FF1F2933"/>
        <rFont val="WenQuanYi Zen Hei"/>
        <family val="2"/>
      </rPr>
      <t xml:space="preserve">凹み修理（直径</t>
    </r>
    <r>
      <rPr>
        <sz val="10"/>
        <color rgb="FF1F2933"/>
        <rFont val="MS PGothic"/>
        <family val="0"/>
        <charset val="1"/>
      </rPr>
      <t xml:space="preserve">20cm</t>
    </r>
    <r>
      <rPr>
        <sz val="10"/>
        <color rgb="FF1F2933"/>
        <rFont val="WenQuanYi Zen Hei"/>
        <family val="2"/>
      </rPr>
      <t xml:space="preserve">程度）</t>
    </r>
  </si>
  <si>
    <r>
      <rPr>
        <sz val="10"/>
        <color rgb="FF1F2933"/>
        <rFont val="MS PGothic"/>
        <family val="0"/>
        <charset val="1"/>
      </rPr>
      <t xml:space="preserve">2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3</t>
    </r>
    <r>
      <rPr>
        <sz val="10"/>
        <color rgb="FF1F2933"/>
        <rFont val="WenQuanYi Zen Hei"/>
        <family val="2"/>
      </rPr>
      <t xml:space="preserve">日</t>
    </r>
  </si>
  <si>
    <r>
      <rPr>
        <sz val="10"/>
        <color rgb="FF1F2933"/>
        <rFont val="WenQuanYi Zen Hei"/>
        <family val="2"/>
      </rPr>
      <t xml:space="preserve">大きな凹み（パネルの</t>
    </r>
    <r>
      <rPr>
        <sz val="10"/>
        <color rgb="FF1F2933"/>
        <rFont val="MS PGothic"/>
        <family val="0"/>
        <charset val="1"/>
      </rPr>
      <t xml:space="preserve">1/2</t>
    </r>
    <r>
      <rPr>
        <sz val="10"/>
        <color rgb="FF1F2933"/>
        <rFont val="WenQuanYi Zen Hei"/>
        <family val="2"/>
      </rPr>
      <t xml:space="preserve">程度）</t>
    </r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</si>
  <si>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パネル</t>
    </r>
  </si>
  <si>
    <r>
      <rPr>
        <sz val="10"/>
        <color rgb="FF1F2933"/>
        <rFont val="MS PGothic"/>
        <family val="0"/>
        <charset val="1"/>
      </rPr>
      <t xml:space="preserve">3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5</t>
    </r>
    <r>
      <rPr>
        <sz val="10"/>
        <color rgb="FF1F2933"/>
        <rFont val="WenQuanYi Zen Hei"/>
        <family val="2"/>
      </rPr>
      <t xml:space="preserve">日</t>
    </r>
  </si>
  <si>
    <t xml:space="preserve">折れ・深い損傷の板金（引き出し含む）</t>
  </si>
  <si>
    <r>
      <rPr>
        <sz val="10"/>
        <color rgb="FF1F2933"/>
        <rFont val="MS PGothic"/>
        <family val="0"/>
        <charset val="1"/>
      </rPr>
      <t xml:space="preserve">4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7</t>
    </r>
    <r>
      <rPr>
        <sz val="10"/>
        <color rgb="FF1F2933"/>
        <rFont val="WenQuanYi Zen Hei"/>
        <family val="2"/>
      </rPr>
      <t xml:space="preserve">日</t>
    </r>
  </si>
  <si>
    <t xml:space="preserve">デントリペア（塗装なし・浅い凹み）</t>
  </si>
  <si>
    <t xml:space="preserve">半日</t>
  </si>
  <si>
    <t xml:space="preserve">塗装が割れていない場合</t>
  </si>
  <si>
    <t xml:space="preserve">サビ・腐食部の切開＋板金</t>
  </si>
  <si>
    <t xml:space="preserve">範囲により変動</t>
  </si>
  <si>
    <t xml:space="preserve">パネル交換（工賃のみ）</t>
  </si>
  <si>
    <t xml:space="preserve">部品代は別途実費</t>
  </si>
  <si>
    <t xml:space="preserve">塗装</t>
  </si>
  <si>
    <r>
      <rPr>
        <sz val="10"/>
        <color rgb="FF1F2933"/>
        <rFont val="WenQuanYi Zen Hei"/>
        <family val="2"/>
      </rPr>
      <t xml:space="preserve">部分塗装（</t>
    </r>
    <r>
      <rPr>
        <sz val="10"/>
        <color rgb="FF1F2933"/>
        <rFont val="MS PGothic"/>
        <family val="0"/>
        <charset val="1"/>
      </rPr>
      <t xml:space="preserve">30cm</t>
    </r>
    <r>
      <rPr>
        <sz val="10"/>
        <color rgb="FF1F2933"/>
        <rFont val="WenQuanYi Zen Hei"/>
        <family val="2"/>
      </rPr>
      <t xml:space="preserve">四方程度）</t>
    </r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</si>
  <si>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パネル塗装（ソリッド・単色）</t>
    </r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</si>
  <si>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パネル塗装（メタリック）</t>
    </r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</si>
  <si>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パネル塗装（パール・</t>
    </r>
    <r>
      <rPr>
        <sz val="10"/>
        <color rgb="FF1F2933"/>
        <rFont val="MS PGothic"/>
        <family val="0"/>
        <charset val="1"/>
      </rPr>
      <t xml:space="preserve">3</t>
    </r>
    <r>
      <rPr>
        <sz val="10"/>
        <color rgb="FF1F2933"/>
        <rFont val="WenQuanYi Zen Hei"/>
        <family val="2"/>
      </rPr>
      <t xml:space="preserve">コート）</t>
    </r>
  </si>
  <si>
    <r>
      <rPr>
        <sz val="10"/>
        <color rgb="FF1F2933"/>
        <rFont val="MS PGothic"/>
        <family val="0"/>
        <charset val="1"/>
      </rPr>
      <t xml:space="preserve">3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4</t>
    </r>
    <r>
      <rPr>
        <sz val="10"/>
        <color rgb="FF1F2933"/>
        <rFont val="WenQuanYi Zen Hei"/>
        <family val="2"/>
      </rPr>
      <t xml:space="preserve">日</t>
    </r>
  </si>
  <si>
    <t xml:space="preserve">ぼかし塗装（隣接パネル）</t>
  </si>
  <si>
    <t xml:space="preserve">色差を抑える場合</t>
  </si>
  <si>
    <t xml:space="preserve">クリア再塗装（塗装剥がれ・色あせ）</t>
  </si>
  <si>
    <t xml:space="preserve">下地処理・サフェーサー</t>
  </si>
  <si>
    <t xml:space="preserve">錆止め・防錆塗装</t>
  </si>
  <si>
    <t xml:space="preserve">パネル別（板金＋塗装）</t>
  </si>
  <si>
    <t xml:space="preserve">フロントバンパー</t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</si>
  <si>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本</t>
    </r>
  </si>
  <si>
    <r>
      <rPr>
        <sz val="10"/>
        <color rgb="FF1F2933"/>
        <rFont val="MS PGothic"/>
        <family val="0"/>
        <charset val="1"/>
      </rPr>
      <t xml:space="preserve">2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4</t>
    </r>
    <r>
      <rPr>
        <sz val="10"/>
        <color rgb="FF1F2933"/>
        <rFont val="WenQuanYi Zen Hei"/>
        <family val="2"/>
      </rPr>
      <t xml:space="preserve">日</t>
    </r>
  </si>
  <si>
    <t xml:space="preserve">脱着込み</t>
  </si>
  <si>
    <t xml:space="preserve">リヤバンパー</t>
  </si>
  <si>
    <t xml:space="preserve">ボンネット</t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</si>
  <si>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枚</t>
    </r>
  </si>
  <si>
    <t xml:space="preserve">フロントフェンダー（片側）</t>
  </si>
  <si>
    <t xml:space="preserve">フロントドア（片側）</t>
  </si>
  <si>
    <t xml:space="preserve">リヤドア（片側）</t>
  </si>
  <si>
    <t xml:space="preserve">−</t>
  </si>
  <si>
    <t xml:space="preserve">トラックはダブルキャブのみ別途</t>
  </si>
  <si>
    <t xml:space="preserve">リヤフェンダー／クォーターパネル</t>
  </si>
  <si>
    <r>
      <rPr>
        <sz val="10"/>
        <color rgb="FF1F2933"/>
        <rFont val="MS PGothic"/>
        <family val="0"/>
        <charset val="1"/>
      </rPr>
      <t xml:space="preserve">4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6</t>
    </r>
    <r>
      <rPr>
        <sz val="10"/>
        <color rgb="FF1F2933"/>
        <rFont val="WenQuanYi Zen Hei"/>
        <family val="2"/>
      </rPr>
      <t xml:space="preserve">日</t>
    </r>
  </si>
  <si>
    <t xml:space="preserve">バックドア／トランクリッド</t>
  </si>
  <si>
    <t xml:space="preserve">ルーフ（キャブルーフ）</t>
  </si>
  <si>
    <t xml:space="preserve">サイドステップ／ロッカーパネル</t>
  </si>
  <si>
    <t xml:space="preserve">フロントパネル・グリルまわり</t>
  </si>
  <si>
    <t xml:space="preserve">ドアミラーカバー</t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</si>
  <si>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個</t>
    </r>
  </si>
  <si>
    <t xml:space="preserve">トラック関連</t>
  </si>
  <si>
    <t xml:space="preserve">あおり 板金・塗装</t>
  </si>
  <si>
    <t xml:space="preserve">あおり 交換（工賃のみ）</t>
  </si>
  <si>
    <t xml:space="preserve">荷台床板 修理・張替え</t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</si>
  <si>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式</t>
    </r>
  </si>
  <si>
    <t xml:space="preserve">材料費別途</t>
  </si>
  <si>
    <t xml:space="preserve">荷台フレーム 防錆塗装</t>
  </si>
  <si>
    <t xml:space="preserve">キャビン外板 板金・塗装</t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</si>
  <si>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面</t>
    </r>
  </si>
  <si>
    <t xml:space="preserve">箱（バン）ボディ パネル 板金・塗装</t>
  </si>
  <si>
    <t xml:space="preserve">ステップ・タイヤハウスまわり 修理</t>
  </si>
  <si>
    <t xml:space="preserve">社名・ロゴ 文字入れ塗装</t>
  </si>
  <si>
    <t xml:space="preserve">デザイン別途</t>
  </si>
  <si>
    <t xml:space="preserve">全塗装・その他</t>
  </si>
  <si>
    <t xml:space="preserve">全塗装（ソリッド・単色）</t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</si>
  <si>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台</t>
    </r>
  </si>
  <si>
    <r>
      <rPr>
        <sz val="10"/>
        <color rgb="FF1F2933"/>
        <rFont val="MS PGothic"/>
        <family val="0"/>
        <charset val="1"/>
      </rPr>
      <t xml:space="preserve">10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14</t>
    </r>
    <r>
      <rPr>
        <sz val="10"/>
        <color rgb="FF1F2933"/>
        <rFont val="WenQuanYi Zen Hei"/>
        <family val="2"/>
      </rPr>
      <t xml:space="preserve">日</t>
    </r>
  </si>
  <si>
    <t xml:space="preserve">全塗装（メタリック）</t>
  </si>
  <si>
    <r>
      <rPr>
        <sz val="10"/>
        <color rgb="FF1F2933"/>
        <rFont val="MS PGothic"/>
        <family val="0"/>
        <charset val="1"/>
      </rPr>
      <t xml:space="preserve">12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16</t>
    </r>
    <r>
      <rPr>
        <sz val="10"/>
        <color rgb="FF1F2933"/>
        <rFont val="WenQuanYi Zen Hei"/>
        <family val="2"/>
      </rPr>
      <t xml:space="preserve">日</t>
    </r>
  </si>
  <si>
    <t xml:space="preserve">キャビンのみ全塗装</t>
  </si>
  <si>
    <r>
      <rPr>
        <sz val="10"/>
        <color rgb="FF1F2933"/>
        <rFont val="MS PGothic"/>
        <family val="0"/>
        <charset val="1"/>
      </rPr>
      <t xml:space="preserve">7</t>
    </r>
    <r>
      <rPr>
        <sz val="10"/>
        <color rgb="FF1F2933"/>
        <rFont val="WenQuanYi Zen Hei"/>
        <family val="2"/>
      </rPr>
      <t xml:space="preserve">〜</t>
    </r>
    <r>
      <rPr>
        <sz val="10"/>
        <color rgb="FF1F2933"/>
        <rFont val="MS PGothic"/>
        <family val="0"/>
        <charset val="1"/>
      </rPr>
      <t xml:space="preserve">10</t>
    </r>
    <r>
      <rPr>
        <sz val="10"/>
        <color rgb="FF1F2933"/>
        <rFont val="WenQuanYi Zen Hei"/>
        <family val="2"/>
      </rPr>
      <t xml:space="preserve">日</t>
    </r>
  </si>
  <si>
    <t xml:space="preserve">ルーフのみ塗装</t>
  </si>
  <si>
    <t xml:space="preserve">ホイール塗装</t>
  </si>
  <si>
    <t xml:space="preserve">脱着工賃（バンパー・ドア等）</t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</si>
  <si>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点</t>
    </r>
  </si>
  <si>
    <t xml:space="preserve">-</t>
  </si>
  <si>
    <t xml:space="preserve">ガラス・モール脱着</t>
  </si>
  <si>
    <t xml:space="preserve">引き取り・納車（片道）</t>
  </si>
  <si>
    <r>
      <rPr>
        <sz val="10"/>
        <color rgb="FF1F2933"/>
        <rFont val="MS PGothic"/>
        <family val="0"/>
        <charset val="1"/>
      </rPr>
      <t xml:space="preserve">1</t>
    </r>
    <r>
      <rPr>
        <sz val="10"/>
        <color rgb="FF1F2933"/>
        <rFont val="WenQuanYi Zen Hei"/>
        <family val="2"/>
      </rPr>
      <t xml:space="preserve">回</t>
    </r>
  </si>
  <si>
    <t xml:space="preserve">距離により変動</t>
  </si>
  <si>
    <t xml:space="preserve">代車</t>
  </si>
  <si>
    <r>
      <rPr>
        <sz val="9"/>
        <color rgb="FF5B6672"/>
        <rFont val="WenQuanYi Zen Hei"/>
        <family val="2"/>
      </rPr>
      <t xml:space="preserve">※ 上記は税抜価格です。消費税は別途（</t>
    </r>
    <r>
      <rPr>
        <sz val="9"/>
        <color rgb="FF5B6672"/>
        <rFont val="MS PGothic"/>
        <family val="0"/>
        <charset val="1"/>
      </rPr>
      <t xml:space="preserve">F2</t>
    </r>
    <r>
      <rPr>
        <sz val="9"/>
        <color rgb="FF5B6672"/>
        <rFont val="WenQuanYi Zen Hei"/>
        <family val="2"/>
      </rPr>
      <t xml:space="preserve">セルの税率）。部品代・材料費・特殊塗料は別途実費となります。</t>
    </r>
  </si>
  <si>
    <t xml:space="preserve">※ 損傷の程度・車種・年式により金額が変わるため、正確な金額は実車確認のうえお見積りいたします。</t>
  </si>
  <si>
    <t xml:space="preserve">板金・塗装 お見積り</t>
  </si>
  <si>
    <t xml:space="preserve">お客様名</t>
  </si>
  <si>
    <t xml:space="preserve">見積日</t>
  </si>
  <si>
    <t xml:space="preserve">車種区分</t>
  </si>
  <si>
    <t xml:space="preserve">担当</t>
  </si>
  <si>
    <t xml:space="preserve">車両（型式・年式）</t>
  </si>
  <si>
    <r>
      <rPr>
        <sz val="9"/>
        <color rgb="FF5B6672"/>
        <rFont val="MS PGothic"/>
        <family val="0"/>
        <charset val="1"/>
      </rPr>
      <t xml:space="preserve">※ B4</t>
    </r>
    <r>
      <rPr>
        <sz val="9"/>
        <color rgb="FF5B6672"/>
        <rFont val="WenQuanYi Zen Hei"/>
        <family val="2"/>
      </rPr>
      <t xml:space="preserve">の車種区分と各行の作業内容を選ぶと、価格表シートの単価を自動で読み込みます（黄色＝入力欄 </t>
    </r>
    <r>
      <rPr>
        <sz val="9"/>
        <color rgb="FF5B6672"/>
        <rFont val="MS PGothic"/>
        <family val="0"/>
        <charset val="1"/>
      </rPr>
      <t xml:space="preserve">/ </t>
    </r>
    <r>
      <rPr>
        <sz val="9"/>
        <color rgb="FF5B6672"/>
        <rFont val="WenQuanYi Zen Hei"/>
        <family val="2"/>
      </rPr>
      <t xml:space="preserve">白＝自動計算）。</t>
    </r>
  </si>
  <si>
    <t xml:space="preserve">数量</t>
  </si>
  <si>
    <t xml:space="preserve">単価（税抜）</t>
  </si>
  <si>
    <t xml:space="preserve">金額（税抜）</t>
  </si>
  <si>
    <t xml:space="preserve">小計（税抜）</t>
  </si>
  <si>
    <t xml:space="preserve">消費税</t>
  </si>
  <si>
    <t xml:space="preserve">合計（税込）</t>
  </si>
  <si>
    <t xml:space="preserve">※ 部品代・材料費・代車費用は別途実費。単価が空欄の場合は価格表シートに金額を入力してください。</t>
  </si>
  <si>
    <r>
      <rPr>
        <sz val="9"/>
        <color rgb="FF5B6672"/>
        <rFont val="WenQuanYi Zen Hei"/>
        <family val="2"/>
      </rPr>
      <t xml:space="preserve">※ 見積り有効期限は発行日より</t>
    </r>
    <r>
      <rPr>
        <sz val="9"/>
        <color rgb="FF5B6672"/>
        <rFont val="MS PGothic"/>
        <family val="0"/>
        <charset val="1"/>
      </rPr>
      <t xml:space="preserve">30</t>
    </r>
    <r>
      <rPr>
        <sz val="9"/>
        <color rgb="FF5B6672"/>
        <rFont val="WenQuanYi Zen Hei"/>
        <family val="2"/>
      </rPr>
      <t xml:space="preserve">日間。実車確認により金額が変わる場合があります。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</si>
</sst>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0%"/>
    <numFmt numFmtId="167" formatCode="#,##0;\-#,##0;\-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3"/>
      <name val="WenQuanYi Zen Hei"/>
      <family val="2"/>
    </font>
    <font>
      <b val="true"/>
      <sz val="10"/>
      <color rgb="FF1F2933"/>
      <name val="WenQuanYi Zen Hei"/>
      <family val="2"/>
    </font>
    <font>
      <b val="true"/>
      <sz val="10"/>
      <color rgb="FF0000FF"/>
      <name val="MS PGothic"/>
      <family val="0"/>
      <charset val="1"/>
    </font>
    <font>
      <sz val="9"/>
      <color rgb="FF5B6672"/>
      <name val="WenQuanYi Zen Hei"/>
      <family val="2"/>
    </font>
    <font>
      <sz val="9"/>
      <color rgb="FF5B6672"/>
      <name val="MS PGothic"/>
      <family val="0"/>
      <charset val="1"/>
    </font>
    <font>
      <b val="true"/>
      <sz val="10"/>
      <color rgb="FFFFFFFF"/>
      <name val="MS PGothic"/>
      <family val="0"/>
      <charset val="1"/>
    </font>
    <font>
      <b val="true"/>
      <sz val="10"/>
      <color rgb="FFFFFFFF"/>
      <name val="WenQuanYi Zen Hei"/>
      <family val="2"/>
    </font>
    <font>
      <i val="true"/>
      <sz val="10"/>
      <color rgb="FF7A828C"/>
      <name val="WenQuanYi Zen Hei"/>
      <family val="2"/>
    </font>
    <font>
      <i val="true"/>
      <sz val="10"/>
      <color rgb="FF7A828C"/>
      <name val="MS PGothic"/>
      <family val="0"/>
      <charset val="1"/>
    </font>
    <font>
      <sz val="10"/>
      <color rgb="FF1F2933"/>
      <name val="MS PGothic"/>
      <family val="0"/>
      <charset val="1"/>
    </font>
    <font>
      <sz val="10"/>
      <color rgb="FF1F2933"/>
      <name val="WenQuanYi Zen Hei"/>
      <family val="2"/>
    </font>
    <font>
      <b val="true"/>
      <sz val="10"/>
      <color rgb="FF1F2933"/>
      <name val="MS P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7CC"/>
        <bgColor rgb="FFF2F4F6"/>
      </patternFill>
    </fill>
    <fill>
      <patternFill patternType="solid">
        <fgColor rgb="FF222A34"/>
        <bgColor rgb="FF1F2933"/>
      </patternFill>
    </fill>
    <fill>
      <patternFill patternType="solid">
        <fgColor rgb="FF3D4A57"/>
        <bgColor rgb="FF5B6672"/>
      </patternFill>
    </fill>
    <fill>
      <patternFill patternType="solid">
        <fgColor rgb="FFF2F4F6"/>
        <bgColor rgb="FFEDF1F5"/>
      </patternFill>
    </fill>
    <fill>
      <patternFill patternType="solid">
        <fgColor rgb="FFEDF1F5"/>
        <bgColor rgb="FFF2F4F6"/>
      </patternFill>
    </fill>
    <fill>
      <patternFill patternType="solid">
        <fgColor rgb="FFE6E8EA"/>
        <bgColor rgb="FFEDF1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7CDD4"/>
      </left>
      <right style="thin">
        <color rgb="FFC7CDD4"/>
      </right>
      <top style="thin">
        <color rgb="FFC7CDD4"/>
      </top>
      <bottom style="thin">
        <color rgb="FFC7CDD4"/>
      </bottom>
      <diagonal/>
    </border>
    <border diagonalUp="false" diagonalDown="false">
      <left style="thin">
        <color rgb="FFC7CDD4"/>
      </left>
      <right style="thin">
        <color rgb="FFC7CDD4"/>
      </right>
      <top style="medium">
        <color rgb="FF8C949E"/>
      </top>
      <bottom style="medium">
        <color rgb="FF8C949E"/>
      </bottom>
      <diagonal/>
    </border>
    <border diagonalUp="false" diagonalDown="false">
      <left style="thin">
        <color rgb="FFC7CDD4"/>
      </left>
      <right style="thin">
        <color rgb="FFC7CDD4"/>
      </right>
      <top style="medium">
        <color rgb="FF8C949E"/>
      </top>
      <bottom style="thin">
        <color rgb="FFC7CDD4"/>
      </bottom>
      <diagonal/>
    </border>
    <border diagonalUp="false" diagonalDown="false">
      <left style="thin">
        <color rgb="FFC7CDD4"/>
      </left>
      <right style="thin">
        <color rgb="FFC7CDD4"/>
      </right>
      <top style="thin">
        <color rgb="FFC7CDD4"/>
      </top>
      <bottom style="medium">
        <color rgb="FF8C94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DD4"/>
      <rgbColor rgb="FF7A828C"/>
      <rgbColor rgb="FF9999FF"/>
      <rgbColor rgb="FF993366"/>
      <rgbColor rgb="FFFFF7CC"/>
      <rgbColor rgb="FFEDF1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6"/>
      <rgbColor rgb="FFE6E8E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2"/>
      <rgbColor rgb="FF8C949E"/>
      <rgbColor rgb="FF003366"/>
      <rgbColor rgb="FF339966"/>
      <rgbColor rgb="FF003300"/>
      <rgbColor rgb="FF1F2933"/>
      <rgbColor rgb="FF993300"/>
      <rgbColor rgb="FF993366"/>
      <rgbColor rgb="FF3D4A57"/>
      <rgbColor rgb="FF222A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2A34"/>
    <pageSetUpPr fitToPage="true"/>
  </sheetPr>
  <dimension ref="A1:I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8" min="5" style="0" width="14"/>
    <col collapsed="false" customWidth="true" hidden="false" outlineLevel="0" max="9" min="9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3"/>
      <c r="C2" s="4" t="s">
        <v>2</v>
      </c>
      <c r="D2" s="5"/>
      <c r="E2" s="4" t="s">
        <v>3</v>
      </c>
      <c r="F2" s="6" t="n">
        <v>0.1</v>
      </c>
    </row>
    <row r="3" customFormat="false" ht="15" hidden="false" customHeight="false" outlineLevel="0" collapsed="false">
      <c r="A3" s="7" t="s">
        <v>4</v>
      </c>
    </row>
    <row r="4" customFormat="false" ht="15" hidden="false" customHeight="false" outlineLevel="0" collapsed="false">
      <c r="A4" s="7" t="s">
        <v>5</v>
      </c>
    </row>
    <row r="5" customFormat="false" ht="15" hidden="false" customHeight="false" outlineLevel="0" collapsed="false">
      <c r="A5" s="7" t="s">
        <v>6</v>
      </c>
    </row>
    <row r="6" customFormat="false" ht="19.5" hidden="false" customHeight="true" outlineLevel="0" collapsed="false">
      <c r="A6" s="8" t="s">
        <v>7</v>
      </c>
      <c r="B6" s="9" t="s">
        <v>8</v>
      </c>
      <c r="C6" s="9" t="s">
        <v>9</v>
      </c>
      <c r="D6" s="9" t="s">
        <v>10</v>
      </c>
      <c r="E6" s="10" t="s">
        <v>11</v>
      </c>
      <c r="F6" s="10"/>
      <c r="G6" s="10"/>
      <c r="H6" s="9" t="s">
        <v>12</v>
      </c>
      <c r="I6" s="9" t="s">
        <v>13</v>
      </c>
    </row>
    <row r="7" customFormat="false" ht="18" hidden="false" customHeight="true" outlineLevel="0" collapsed="false">
      <c r="A7" s="8"/>
      <c r="B7" s="8"/>
      <c r="C7" s="8"/>
      <c r="D7" s="8"/>
      <c r="E7" s="11" t="s">
        <v>14</v>
      </c>
      <c r="F7" s="12" t="s">
        <v>15</v>
      </c>
      <c r="G7" s="12" t="s">
        <v>16</v>
      </c>
      <c r="H7" s="9"/>
      <c r="I7" s="9"/>
    </row>
    <row r="8" customFormat="false" ht="15" hidden="false" customHeight="false" outlineLevel="0" collapsed="false">
      <c r="A8" s="13" t="s">
        <v>17</v>
      </c>
      <c r="B8" s="14" t="s">
        <v>18</v>
      </c>
      <c r="C8" s="14" t="s">
        <v>19</v>
      </c>
      <c r="D8" s="15" t="s">
        <v>20</v>
      </c>
      <c r="E8" s="16" t="n">
        <v>22000</v>
      </c>
      <c r="F8" s="16" t="n">
        <v>26000</v>
      </c>
      <c r="G8" s="16" t="n">
        <v>30000</v>
      </c>
      <c r="H8" s="15" t="s">
        <v>21</v>
      </c>
      <c r="I8" s="14" t="s">
        <v>22</v>
      </c>
    </row>
    <row r="9" customFormat="false" ht="18" hidden="false" customHeight="true" outlineLevel="0" collapsed="false">
      <c r="A9" s="17" t="n">
        <v>1</v>
      </c>
      <c r="B9" s="18" t="s">
        <v>18</v>
      </c>
      <c r="C9" s="19" t="s">
        <v>23</v>
      </c>
      <c r="D9" s="17" t="s">
        <v>24</v>
      </c>
      <c r="E9" s="20"/>
      <c r="F9" s="20"/>
      <c r="G9" s="20"/>
      <c r="H9" s="17" t="s">
        <v>25</v>
      </c>
      <c r="I9" s="19" t="s">
        <v>26</v>
      </c>
    </row>
    <row r="10" customFormat="false" ht="18" hidden="false" customHeight="true" outlineLevel="0" collapsed="false">
      <c r="A10" s="17" t="n">
        <v>2</v>
      </c>
      <c r="B10" s="21" t="s">
        <v>18</v>
      </c>
      <c r="C10" s="19" t="s">
        <v>27</v>
      </c>
      <c r="D10" s="17" t="s">
        <v>24</v>
      </c>
      <c r="E10" s="20"/>
      <c r="F10" s="20"/>
      <c r="G10" s="20"/>
      <c r="H10" s="17" t="s">
        <v>28</v>
      </c>
      <c r="I10" s="19"/>
    </row>
    <row r="11" customFormat="false" ht="18" hidden="false" customHeight="true" outlineLevel="0" collapsed="false">
      <c r="A11" s="17" t="n">
        <v>3</v>
      </c>
      <c r="B11" s="21" t="s">
        <v>18</v>
      </c>
      <c r="C11" s="19" t="s">
        <v>29</v>
      </c>
      <c r="D11" s="17" t="s">
        <v>24</v>
      </c>
      <c r="E11" s="20"/>
      <c r="F11" s="20"/>
      <c r="G11" s="20"/>
      <c r="H11" s="17" t="s">
        <v>30</v>
      </c>
      <c r="I11" s="19"/>
    </row>
    <row r="12" customFormat="false" ht="18" hidden="false" customHeight="true" outlineLevel="0" collapsed="false">
      <c r="A12" s="17" t="n">
        <v>4</v>
      </c>
      <c r="B12" s="21" t="s">
        <v>18</v>
      </c>
      <c r="C12" s="19" t="s">
        <v>31</v>
      </c>
      <c r="D12" s="17" t="s">
        <v>32</v>
      </c>
      <c r="E12" s="20"/>
      <c r="F12" s="20"/>
      <c r="G12" s="20"/>
      <c r="H12" s="17" t="s">
        <v>33</v>
      </c>
      <c r="I12" s="19"/>
    </row>
    <row r="13" customFormat="false" ht="18" hidden="false" customHeight="true" outlineLevel="0" collapsed="false">
      <c r="A13" s="17" t="n">
        <v>5</v>
      </c>
      <c r="B13" s="21" t="s">
        <v>18</v>
      </c>
      <c r="C13" s="19" t="s">
        <v>34</v>
      </c>
      <c r="D13" s="17" t="s">
        <v>32</v>
      </c>
      <c r="E13" s="20"/>
      <c r="F13" s="20"/>
      <c r="G13" s="20"/>
      <c r="H13" s="17" t="s">
        <v>35</v>
      </c>
      <c r="I13" s="19"/>
    </row>
    <row r="14" customFormat="false" ht="18" hidden="false" customHeight="true" outlineLevel="0" collapsed="false">
      <c r="A14" s="17" t="n">
        <v>6</v>
      </c>
      <c r="B14" s="21" t="s">
        <v>18</v>
      </c>
      <c r="C14" s="19" t="s">
        <v>36</v>
      </c>
      <c r="D14" s="17" t="s">
        <v>24</v>
      </c>
      <c r="E14" s="20"/>
      <c r="F14" s="20"/>
      <c r="G14" s="20"/>
      <c r="H14" s="22" t="s">
        <v>37</v>
      </c>
      <c r="I14" s="19" t="s">
        <v>38</v>
      </c>
    </row>
    <row r="15" customFormat="false" ht="18" hidden="false" customHeight="true" outlineLevel="0" collapsed="false">
      <c r="A15" s="17" t="n">
        <v>7</v>
      </c>
      <c r="B15" s="21" t="s">
        <v>18</v>
      </c>
      <c r="C15" s="19" t="s">
        <v>39</v>
      </c>
      <c r="D15" s="17" t="s">
        <v>24</v>
      </c>
      <c r="E15" s="20"/>
      <c r="F15" s="20"/>
      <c r="G15" s="20"/>
      <c r="H15" s="17" t="s">
        <v>33</v>
      </c>
      <c r="I15" s="19" t="s">
        <v>40</v>
      </c>
    </row>
    <row r="16" customFormat="false" ht="18" hidden="false" customHeight="true" outlineLevel="0" collapsed="false">
      <c r="A16" s="17" t="n">
        <v>8</v>
      </c>
      <c r="B16" s="21" t="s">
        <v>18</v>
      </c>
      <c r="C16" s="19" t="s">
        <v>41</v>
      </c>
      <c r="D16" s="17" t="s">
        <v>32</v>
      </c>
      <c r="E16" s="20"/>
      <c r="F16" s="20"/>
      <c r="G16" s="20"/>
      <c r="H16" s="17" t="s">
        <v>33</v>
      </c>
      <c r="I16" s="19" t="s">
        <v>42</v>
      </c>
    </row>
    <row r="17" customFormat="false" ht="18" hidden="false" customHeight="true" outlineLevel="0" collapsed="false">
      <c r="A17" s="23" t="n">
        <v>9</v>
      </c>
      <c r="B17" s="24" t="s">
        <v>43</v>
      </c>
      <c r="C17" s="25" t="s">
        <v>44</v>
      </c>
      <c r="D17" s="23" t="s">
        <v>24</v>
      </c>
      <c r="E17" s="26"/>
      <c r="F17" s="26"/>
      <c r="G17" s="26"/>
      <c r="H17" s="23" t="s">
        <v>28</v>
      </c>
      <c r="I17" s="25"/>
    </row>
    <row r="18" customFormat="false" ht="18" hidden="false" customHeight="true" outlineLevel="0" collapsed="false">
      <c r="A18" s="17" t="n">
        <v>10</v>
      </c>
      <c r="B18" s="21" t="s">
        <v>43</v>
      </c>
      <c r="C18" s="27" t="s">
        <v>45</v>
      </c>
      <c r="D18" s="17" t="s">
        <v>32</v>
      </c>
      <c r="E18" s="20"/>
      <c r="F18" s="20"/>
      <c r="G18" s="20"/>
      <c r="H18" s="17" t="s">
        <v>30</v>
      </c>
      <c r="I18" s="27"/>
    </row>
    <row r="19" customFormat="false" ht="18" hidden="false" customHeight="true" outlineLevel="0" collapsed="false">
      <c r="A19" s="17" t="n">
        <v>11</v>
      </c>
      <c r="B19" s="21" t="s">
        <v>43</v>
      </c>
      <c r="C19" s="27" t="s">
        <v>46</v>
      </c>
      <c r="D19" s="17" t="s">
        <v>32</v>
      </c>
      <c r="E19" s="20"/>
      <c r="F19" s="20"/>
      <c r="G19" s="20"/>
      <c r="H19" s="17" t="s">
        <v>30</v>
      </c>
      <c r="I19" s="27"/>
    </row>
    <row r="20" customFormat="false" ht="18" hidden="false" customHeight="true" outlineLevel="0" collapsed="false">
      <c r="A20" s="17" t="n">
        <v>12</v>
      </c>
      <c r="B20" s="21" t="s">
        <v>43</v>
      </c>
      <c r="C20" s="27" t="s">
        <v>47</v>
      </c>
      <c r="D20" s="17" t="s">
        <v>32</v>
      </c>
      <c r="E20" s="20"/>
      <c r="F20" s="20"/>
      <c r="G20" s="20"/>
      <c r="H20" s="17" t="s">
        <v>48</v>
      </c>
      <c r="I20" s="27"/>
    </row>
    <row r="21" customFormat="false" ht="18" hidden="false" customHeight="true" outlineLevel="0" collapsed="false">
      <c r="A21" s="17" t="n">
        <v>13</v>
      </c>
      <c r="B21" s="21" t="s">
        <v>43</v>
      </c>
      <c r="C21" s="19" t="s">
        <v>49</v>
      </c>
      <c r="D21" s="17" t="s">
        <v>32</v>
      </c>
      <c r="E21" s="20"/>
      <c r="F21" s="20"/>
      <c r="G21" s="20"/>
      <c r="H21" s="17" t="s">
        <v>25</v>
      </c>
      <c r="I21" s="19" t="s">
        <v>50</v>
      </c>
    </row>
    <row r="22" customFormat="false" ht="18" hidden="false" customHeight="true" outlineLevel="0" collapsed="false">
      <c r="A22" s="17" t="n">
        <v>14</v>
      </c>
      <c r="B22" s="21" t="s">
        <v>43</v>
      </c>
      <c r="C22" s="19" t="s">
        <v>51</v>
      </c>
      <c r="D22" s="17" t="s">
        <v>32</v>
      </c>
      <c r="E22" s="20"/>
      <c r="F22" s="20"/>
      <c r="G22" s="20"/>
      <c r="H22" s="17" t="s">
        <v>30</v>
      </c>
      <c r="I22" s="27"/>
    </row>
    <row r="23" customFormat="false" ht="18" hidden="false" customHeight="true" outlineLevel="0" collapsed="false">
      <c r="A23" s="17" t="n">
        <v>15</v>
      </c>
      <c r="B23" s="21" t="s">
        <v>43</v>
      </c>
      <c r="C23" s="19" t="s">
        <v>52</v>
      </c>
      <c r="D23" s="17" t="s">
        <v>32</v>
      </c>
      <c r="E23" s="20"/>
      <c r="F23" s="20"/>
      <c r="G23" s="20"/>
      <c r="H23" s="17" t="s">
        <v>25</v>
      </c>
      <c r="I23" s="27"/>
    </row>
    <row r="24" customFormat="false" ht="18" hidden="false" customHeight="true" outlineLevel="0" collapsed="false">
      <c r="A24" s="17" t="n">
        <v>16</v>
      </c>
      <c r="B24" s="21" t="s">
        <v>43</v>
      </c>
      <c r="C24" s="19" t="s">
        <v>53</v>
      </c>
      <c r="D24" s="17" t="s">
        <v>24</v>
      </c>
      <c r="E24" s="20"/>
      <c r="F24" s="20"/>
      <c r="G24" s="20"/>
      <c r="H24" s="17" t="s">
        <v>25</v>
      </c>
      <c r="I24" s="27"/>
    </row>
    <row r="25" customFormat="false" ht="18" hidden="false" customHeight="true" outlineLevel="0" collapsed="false">
      <c r="A25" s="23" t="n">
        <v>17</v>
      </c>
      <c r="B25" s="24" t="s">
        <v>54</v>
      </c>
      <c r="C25" s="25" t="s">
        <v>55</v>
      </c>
      <c r="D25" s="23" t="s">
        <v>56</v>
      </c>
      <c r="E25" s="26"/>
      <c r="F25" s="26"/>
      <c r="G25" s="26"/>
      <c r="H25" s="23" t="s">
        <v>57</v>
      </c>
      <c r="I25" s="25" t="s">
        <v>58</v>
      </c>
    </row>
    <row r="26" customFormat="false" ht="18" hidden="false" customHeight="true" outlineLevel="0" collapsed="false">
      <c r="A26" s="17" t="n">
        <v>18</v>
      </c>
      <c r="B26" s="21" t="s">
        <v>54</v>
      </c>
      <c r="C26" s="19" t="s">
        <v>59</v>
      </c>
      <c r="D26" s="17" t="s">
        <v>56</v>
      </c>
      <c r="E26" s="20"/>
      <c r="F26" s="20"/>
      <c r="G26" s="20"/>
      <c r="H26" s="17" t="s">
        <v>57</v>
      </c>
      <c r="I26" s="19" t="s">
        <v>58</v>
      </c>
    </row>
    <row r="27" customFormat="false" ht="18" hidden="false" customHeight="true" outlineLevel="0" collapsed="false">
      <c r="A27" s="17" t="n">
        <v>19</v>
      </c>
      <c r="B27" s="21" t="s">
        <v>54</v>
      </c>
      <c r="C27" s="19" t="s">
        <v>60</v>
      </c>
      <c r="D27" s="17" t="s">
        <v>61</v>
      </c>
      <c r="E27" s="20"/>
      <c r="F27" s="20"/>
      <c r="G27" s="20"/>
      <c r="H27" s="17" t="s">
        <v>48</v>
      </c>
      <c r="I27" s="27"/>
    </row>
    <row r="28" customFormat="false" ht="18" hidden="false" customHeight="true" outlineLevel="0" collapsed="false">
      <c r="A28" s="17" t="n">
        <v>20</v>
      </c>
      <c r="B28" s="21" t="s">
        <v>54</v>
      </c>
      <c r="C28" s="19" t="s">
        <v>62</v>
      </c>
      <c r="D28" s="17" t="s">
        <v>61</v>
      </c>
      <c r="E28" s="20"/>
      <c r="F28" s="20"/>
      <c r="G28" s="20"/>
      <c r="H28" s="17" t="s">
        <v>48</v>
      </c>
      <c r="I28" s="27"/>
    </row>
    <row r="29" customFormat="false" ht="18" hidden="false" customHeight="true" outlineLevel="0" collapsed="false">
      <c r="A29" s="17" t="n">
        <v>21</v>
      </c>
      <c r="B29" s="21" t="s">
        <v>54</v>
      </c>
      <c r="C29" s="19" t="s">
        <v>63</v>
      </c>
      <c r="D29" s="17" t="s">
        <v>61</v>
      </c>
      <c r="E29" s="20"/>
      <c r="F29" s="20"/>
      <c r="G29" s="20"/>
      <c r="H29" s="17" t="s">
        <v>48</v>
      </c>
      <c r="I29" s="27"/>
    </row>
    <row r="30" customFormat="false" ht="18" hidden="false" customHeight="true" outlineLevel="0" collapsed="false">
      <c r="A30" s="17" t="n">
        <v>22</v>
      </c>
      <c r="B30" s="21" t="s">
        <v>54</v>
      </c>
      <c r="C30" s="19" t="s">
        <v>64</v>
      </c>
      <c r="D30" s="17" t="s">
        <v>61</v>
      </c>
      <c r="E30" s="20"/>
      <c r="F30" s="28" t="s">
        <v>65</v>
      </c>
      <c r="G30" s="28" t="s">
        <v>65</v>
      </c>
      <c r="H30" s="17" t="s">
        <v>48</v>
      </c>
      <c r="I30" s="19" t="s">
        <v>66</v>
      </c>
    </row>
    <row r="31" customFormat="false" ht="18" hidden="false" customHeight="true" outlineLevel="0" collapsed="false">
      <c r="A31" s="17" t="n">
        <v>23</v>
      </c>
      <c r="B31" s="21" t="s">
        <v>54</v>
      </c>
      <c r="C31" s="19" t="s">
        <v>67</v>
      </c>
      <c r="D31" s="17" t="s">
        <v>61</v>
      </c>
      <c r="E31" s="20"/>
      <c r="F31" s="28" t="s">
        <v>65</v>
      </c>
      <c r="G31" s="28" t="s">
        <v>65</v>
      </c>
      <c r="H31" s="17" t="s">
        <v>68</v>
      </c>
      <c r="I31" s="27"/>
    </row>
    <row r="32" customFormat="false" ht="18" hidden="false" customHeight="true" outlineLevel="0" collapsed="false">
      <c r="A32" s="17" t="n">
        <v>24</v>
      </c>
      <c r="B32" s="21" t="s">
        <v>54</v>
      </c>
      <c r="C32" s="19" t="s">
        <v>69</v>
      </c>
      <c r="D32" s="17" t="s">
        <v>61</v>
      </c>
      <c r="E32" s="20"/>
      <c r="F32" s="28" t="s">
        <v>65</v>
      </c>
      <c r="G32" s="28" t="s">
        <v>65</v>
      </c>
      <c r="H32" s="17" t="s">
        <v>48</v>
      </c>
      <c r="I32" s="27"/>
    </row>
    <row r="33" customFormat="false" ht="18" hidden="false" customHeight="true" outlineLevel="0" collapsed="false">
      <c r="A33" s="17" t="n">
        <v>25</v>
      </c>
      <c r="B33" s="21" t="s">
        <v>54</v>
      </c>
      <c r="C33" s="19" t="s">
        <v>70</v>
      </c>
      <c r="D33" s="17" t="s">
        <v>61</v>
      </c>
      <c r="E33" s="20"/>
      <c r="F33" s="20"/>
      <c r="G33" s="20"/>
      <c r="H33" s="17" t="s">
        <v>68</v>
      </c>
      <c r="I33" s="27"/>
    </row>
    <row r="34" customFormat="false" ht="18" hidden="false" customHeight="true" outlineLevel="0" collapsed="false">
      <c r="A34" s="17" t="n">
        <v>26</v>
      </c>
      <c r="B34" s="21" t="s">
        <v>54</v>
      </c>
      <c r="C34" s="19" t="s">
        <v>71</v>
      </c>
      <c r="D34" s="17" t="s">
        <v>24</v>
      </c>
      <c r="E34" s="20"/>
      <c r="F34" s="20"/>
      <c r="G34" s="20"/>
      <c r="H34" s="17" t="s">
        <v>48</v>
      </c>
      <c r="I34" s="27"/>
    </row>
    <row r="35" customFormat="false" ht="18" hidden="false" customHeight="true" outlineLevel="0" collapsed="false">
      <c r="A35" s="17" t="n">
        <v>27</v>
      </c>
      <c r="B35" s="21" t="s">
        <v>54</v>
      </c>
      <c r="C35" s="19" t="s">
        <v>72</v>
      </c>
      <c r="D35" s="17" t="s">
        <v>24</v>
      </c>
      <c r="E35" s="20"/>
      <c r="F35" s="20"/>
      <c r="G35" s="20"/>
      <c r="H35" s="17" t="s">
        <v>30</v>
      </c>
      <c r="I35" s="27"/>
    </row>
    <row r="36" customFormat="false" ht="18" hidden="false" customHeight="true" outlineLevel="0" collapsed="false">
      <c r="A36" s="17" t="n">
        <v>28</v>
      </c>
      <c r="B36" s="21" t="s">
        <v>54</v>
      </c>
      <c r="C36" s="19" t="s">
        <v>73</v>
      </c>
      <c r="D36" s="17" t="s">
        <v>74</v>
      </c>
      <c r="E36" s="20"/>
      <c r="F36" s="20"/>
      <c r="G36" s="20"/>
      <c r="H36" s="17" t="s">
        <v>28</v>
      </c>
      <c r="I36" s="27"/>
    </row>
    <row r="37" customFormat="false" ht="18" hidden="false" customHeight="true" outlineLevel="0" collapsed="false">
      <c r="A37" s="23" t="n">
        <v>29</v>
      </c>
      <c r="B37" s="24" t="s">
        <v>75</v>
      </c>
      <c r="C37" s="25" t="s">
        <v>76</v>
      </c>
      <c r="D37" s="23" t="s">
        <v>61</v>
      </c>
      <c r="E37" s="29" t="s">
        <v>65</v>
      </c>
      <c r="F37" s="26"/>
      <c r="G37" s="26"/>
      <c r="H37" s="23" t="s">
        <v>57</v>
      </c>
      <c r="I37" s="25"/>
    </row>
    <row r="38" customFormat="false" ht="18" hidden="false" customHeight="true" outlineLevel="0" collapsed="false">
      <c r="A38" s="17" t="n">
        <v>30</v>
      </c>
      <c r="B38" s="21" t="s">
        <v>75</v>
      </c>
      <c r="C38" s="19" t="s">
        <v>77</v>
      </c>
      <c r="D38" s="17" t="s">
        <v>61</v>
      </c>
      <c r="E38" s="28" t="s">
        <v>65</v>
      </c>
      <c r="F38" s="20"/>
      <c r="G38" s="20"/>
      <c r="H38" s="17" t="s">
        <v>30</v>
      </c>
      <c r="I38" s="19" t="s">
        <v>42</v>
      </c>
    </row>
    <row r="39" customFormat="false" ht="18" hidden="false" customHeight="true" outlineLevel="0" collapsed="false">
      <c r="A39" s="17" t="n">
        <v>31</v>
      </c>
      <c r="B39" s="21" t="s">
        <v>75</v>
      </c>
      <c r="C39" s="19" t="s">
        <v>78</v>
      </c>
      <c r="D39" s="17" t="s">
        <v>79</v>
      </c>
      <c r="E39" s="28" t="s">
        <v>65</v>
      </c>
      <c r="F39" s="20"/>
      <c r="G39" s="20"/>
      <c r="H39" s="17" t="s">
        <v>33</v>
      </c>
      <c r="I39" s="19" t="s">
        <v>80</v>
      </c>
    </row>
    <row r="40" customFormat="false" ht="18" hidden="false" customHeight="true" outlineLevel="0" collapsed="false">
      <c r="A40" s="17" t="n">
        <v>32</v>
      </c>
      <c r="B40" s="21" t="s">
        <v>75</v>
      </c>
      <c r="C40" s="19" t="s">
        <v>81</v>
      </c>
      <c r="D40" s="17" t="s">
        <v>79</v>
      </c>
      <c r="E40" s="28" t="s">
        <v>65</v>
      </c>
      <c r="F40" s="20"/>
      <c r="G40" s="20"/>
      <c r="H40" s="17" t="s">
        <v>57</v>
      </c>
      <c r="I40" s="27"/>
    </row>
    <row r="41" customFormat="false" ht="18" hidden="false" customHeight="true" outlineLevel="0" collapsed="false">
      <c r="A41" s="17" t="n">
        <v>33</v>
      </c>
      <c r="B41" s="21" t="s">
        <v>75</v>
      </c>
      <c r="C41" s="19" t="s">
        <v>82</v>
      </c>
      <c r="D41" s="17" t="s">
        <v>83</v>
      </c>
      <c r="E41" s="28" t="s">
        <v>65</v>
      </c>
      <c r="F41" s="20"/>
      <c r="G41" s="20"/>
      <c r="H41" s="17" t="s">
        <v>33</v>
      </c>
      <c r="I41" s="27"/>
    </row>
    <row r="42" customFormat="false" ht="18" hidden="false" customHeight="true" outlineLevel="0" collapsed="false">
      <c r="A42" s="17" t="n">
        <v>34</v>
      </c>
      <c r="B42" s="21" t="s">
        <v>75</v>
      </c>
      <c r="C42" s="19" t="s">
        <v>84</v>
      </c>
      <c r="D42" s="17" t="s">
        <v>83</v>
      </c>
      <c r="E42" s="28" t="s">
        <v>65</v>
      </c>
      <c r="F42" s="20"/>
      <c r="G42" s="20"/>
      <c r="H42" s="17" t="s">
        <v>33</v>
      </c>
      <c r="I42" s="27"/>
    </row>
    <row r="43" customFormat="false" ht="18" hidden="false" customHeight="true" outlineLevel="0" collapsed="false">
      <c r="A43" s="17" t="n">
        <v>35</v>
      </c>
      <c r="B43" s="21" t="s">
        <v>75</v>
      </c>
      <c r="C43" s="19" t="s">
        <v>85</v>
      </c>
      <c r="D43" s="17" t="s">
        <v>24</v>
      </c>
      <c r="E43" s="28" t="s">
        <v>65</v>
      </c>
      <c r="F43" s="20"/>
      <c r="G43" s="20"/>
      <c r="H43" s="17" t="s">
        <v>30</v>
      </c>
      <c r="I43" s="27"/>
    </row>
    <row r="44" customFormat="false" ht="18" hidden="false" customHeight="true" outlineLevel="0" collapsed="false">
      <c r="A44" s="17" t="n">
        <v>36</v>
      </c>
      <c r="B44" s="21" t="s">
        <v>75</v>
      </c>
      <c r="C44" s="19" t="s">
        <v>86</v>
      </c>
      <c r="D44" s="17" t="s">
        <v>79</v>
      </c>
      <c r="E44" s="28" t="s">
        <v>65</v>
      </c>
      <c r="F44" s="20"/>
      <c r="G44" s="20"/>
      <c r="H44" s="17" t="s">
        <v>30</v>
      </c>
      <c r="I44" s="19" t="s">
        <v>87</v>
      </c>
    </row>
    <row r="45" customFormat="false" ht="18" hidden="false" customHeight="true" outlineLevel="0" collapsed="false">
      <c r="A45" s="23" t="n">
        <v>37</v>
      </c>
      <c r="B45" s="24" t="s">
        <v>88</v>
      </c>
      <c r="C45" s="25" t="s">
        <v>89</v>
      </c>
      <c r="D45" s="23" t="s">
        <v>90</v>
      </c>
      <c r="E45" s="26"/>
      <c r="F45" s="26"/>
      <c r="G45" s="26"/>
      <c r="H45" s="23" t="s">
        <v>91</v>
      </c>
      <c r="I45" s="25"/>
    </row>
    <row r="46" customFormat="false" ht="18" hidden="false" customHeight="true" outlineLevel="0" collapsed="false">
      <c r="A46" s="17" t="n">
        <v>38</v>
      </c>
      <c r="B46" s="21" t="s">
        <v>88</v>
      </c>
      <c r="C46" s="19" t="s">
        <v>92</v>
      </c>
      <c r="D46" s="17" t="s">
        <v>90</v>
      </c>
      <c r="E46" s="20"/>
      <c r="F46" s="20"/>
      <c r="G46" s="20"/>
      <c r="H46" s="17" t="s">
        <v>93</v>
      </c>
      <c r="I46" s="27"/>
    </row>
    <row r="47" customFormat="false" ht="18" hidden="false" customHeight="true" outlineLevel="0" collapsed="false">
      <c r="A47" s="17" t="n">
        <v>39</v>
      </c>
      <c r="B47" s="21" t="s">
        <v>88</v>
      </c>
      <c r="C47" s="19" t="s">
        <v>94</v>
      </c>
      <c r="D47" s="17" t="s">
        <v>90</v>
      </c>
      <c r="E47" s="28" t="s">
        <v>65</v>
      </c>
      <c r="F47" s="20"/>
      <c r="G47" s="20"/>
      <c r="H47" s="17" t="s">
        <v>95</v>
      </c>
      <c r="I47" s="27"/>
    </row>
    <row r="48" customFormat="false" ht="18" hidden="false" customHeight="true" outlineLevel="0" collapsed="false">
      <c r="A48" s="17" t="n">
        <v>40</v>
      </c>
      <c r="B48" s="21" t="s">
        <v>88</v>
      </c>
      <c r="C48" s="19" t="s">
        <v>96</v>
      </c>
      <c r="D48" s="17" t="s">
        <v>61</v>
      </c>
      <c r="E48" s="20"/>
      <c r="F48" s="20"/>
      <c r="G48" s="20"/>
      <c r="H48" s="17" t="s">
        <v>48</v>
      </c>
      <c r="I48" s="27"/>
    </row>
    <row r="49" customFormat="false" ht="18" hidden="false" customHeight="true" outlineLevel="0" collapsed="false">
      <c r="A49" s="17" t="n">
        <v>41</v>
      </c>
      <c r="B49" s="21" t="s">
        <v>88</v>
      </c>
      <c r="C49" s="19" t="s">
        <v>97</v>
      </c>
      <c r="D49" s="17" t="s">
        <v>56</v>
      </c>
      <c r="E49" s="20"/>
      <c r="F49" s="20"/>
      <c r="G49" s="20"/>
      <c r="H49" s="17" t="s">
        <v>30</v>
      </c>
      <c r="I49" s="27"/>
    </row>
    <row r="50" customFormat="false" ht="18" hidden="false" customHeight="true" outlineLevel="0" collapsed="false">
      <c r="A50" s="17" t="n">
        <v>42</v>
      </c>
      <c r="B50" s="21" t="s">
        <v>88</v>
      </c>
      <c r="C50" s="19" t="s">
        <v>98</v>
      </c>
      <c r="D50" s="17" t="s">
        <v>99</v>
      </c>
      <c r="E50" s="20"/>
      <c r="F50" s="20"/>
      <c r="G50" s="20"/>
      <c r="H50" s="17" t="s">
        <v>100</v>
      </c>
      <c r="I50" s="27"/>
    </row>
    <row r="51" customFormat="false" ht="18" hidden="false" customHeight="true" outlineLevel="0" collapsed="false">
      <c r="A51" s="17" t="n">
        <v>43</v>
      </c>
      <c r="B51" s="21" t="s">
        <v>88</v>
      </c>
      <c r="C51" s="19" t="s">
        <v>101</v>
      </c>
      <c r="D51" s="17" t="s">
        <v>99</v>
      </c>
      <c r="E51" s="20"/>
      <c r="F51" s="20"/>
      <c r="G51" s="20"/>
      <c r="H51" s="17" t="s">
        <v>100</v>
      </c>
      <c r="I51" s="27"/>
    </row>
    <row r="52" customFormat="false" ht="18" hidden="false" customHeight="true" outlineLevel="0" collapsed="false">
      <c r="A52" s="17" t="n">
        <v>44</v>
      </c>
      <c r="B52" s="21" t="s">
        <v>88</v>
      </c>
      <c r="C52" s="19" t="s">
        <v>102</v>
      </c>
      <c r="D52" s="17" t="s">
        <v>103</v>
      </c>
      <c r="E52" s="20"/>
      <c r="F52" s="20"/>
      <c r="G52" s="20"/>
      <c r="H52" s="17" t="s">
        <v>100</v>
      </c>
      <c r="I52" s="19" t="s">
        <v>104</v>
      </c>
    </row>
    <row r="53" customFormat="false" ht="18" hidden="false" customHeight="true" outlineLevel="0" collapsed="false">
      <c r="A53" s="17" t="n">
        <v>45</v>
      </c>
      <c r="B53" s="21" t="s">
        <v>88</v>
      </c>
      <c r="C53" s="19" t="s">
        <v>105</v>
      </c>
      <c r="D53" s="17" t="s">
        <v>25</v>
      </c>
      <c r="E53" s="20"/>
      <c r="F53" s="20"/>
      <c r="G53" s="20"/>
      <c r="H53" s="17" t="s">
        <v>100</v>
      </c>
      <c r="I53" s="27"/>
    </row>
    <row r="55" customFormat="false" ht="15" hidden="false" customHeight="false" outlineLevel="0" collapsed="false">
      <c r="A55" s="7" t="s">
        <v>106</v>
      </c>
    </row>
    <row r="56" customFormat="false" ht="15" hidden="false" customHeight="false" outlineLevel="0" collapsed="false">
      <c r="A56" s="7" t="s">
        <v>107</v>
      </c>
    </row>
  </sheetData>
  <mergeCells count="8">
    <mergeCell ref="A1:I1"/>
    <mergeCell ref="A6:A7"/>
    <mergeCell ref="B6:B7"/>
    <mergeCell ref="C6:C7"/>
    <mergeCell ref="D6:D7"/>
    <mergeCell ref="E6:G6"/>
    <mergeCell ref="H6:H7"/>
    <mergeCell ref="I6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4A57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25.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109</v>
      </c>
      <c r="B3" s="3"/>
      <c r="D3" s="4" t="s">
        <v>110</v>
      </c>
      <c r="E3" s="5"/>
    </row>
    <row r="4" customFormat="false" ht="15" hidden="false" customHeight="false" outlineLevel="0" collapsed="false">
      <c r="A4" s="2" t="s">
        <v>111</v>
      </c>
      <c r="B4" s="3"/>
      <c r="D4" s="4" t="s">
        <v>112</v>
      </c>
      <c r="E4" s="3"/>
    </row>
    <row r="5" customFormat="false" ht="15" hidden="false" customHeight="false" outlineLevel="0" collapsed="false">
      <c r="A5" s="2" t="s">
        <v>113</v>
      </c>
      <c r="B5" s="3"/>
      <c r="D5" s="4" t="s">
        <v>3</v>
      </c>
      <c r="E5" s="30" t="n">
        <f aca="false">価格表!$F$2</f>
        <v>0.1</v>
      </c>
    </row>
    <row r="6" customFormat="false" ht="15" hidden="false" customHeight="false" outlineLevel="0" collapsed="false">
      <c r="A6" s="31" t="s">
        <v>114</v>
      </c>
    </row>
    <row r="8" customFormat="false" ht="19.5" hidden="false" customHeight="true" outlineLevel="0" collapsed="false">
      <c r="A8" s="8" t="s">
        <v>7</v>
      </c>
      <c r="B8" s="9" t="s">
        <v>9</v>
      </c>
      <c r="C8" s="9" t="s">
        <v>10</v>
      </c>
      <c r="D8" s="9" t="s">
        <v>115</v>
      </c>
      <c r="E8" s="9" t="s">
        <v>116</v>
      </c>
      <c r="F8" s="9" t="s">
        <v>117</v>
      </c>
      <c r="G8" s="9" t="s">
        <v>13</v>
      </c>
    </row>
    <row r="9" customFormat="false" ht="18" hidden="false" customHeight="true" outlineLevel="0" collapsed="false">
      <c r="A9" s="17" t="n">
        <v>1</v>
      </c>
      <c r="B9" s="32"/>
      <c r="C9" s="17" t="str">
        <f aca="false">IFERROR(INDEX(価格表!$D$9:$D$53,MATCH($B9,価格表!$C$9:$C$53,0)),"")</f>
        <v/>
      </c>
      <c r="D9" s="33"/>
      <c r="E9" s="34" t="str">
        <f aca="false">IF($B9="","",IFERROR(INDEX(価格表!$E$9:$G$53,MATCH($B9,価格表!$C$9:$C$53,0),MATCH($B$4,価格表!$E$7:$G$7,0)),""))</f>
        <v/>
      </c>
      <c r="F9" s="34" t="str">
        <f aca="false">IF(OR($B9="",$D9=""),"",IFERROR($D9*$E9,""))</f>
        <v/>
      </c>
      <c r="G9" s="32"/>
    </row>
    <row r="10" customFormat="false" ht="18" hidden="false" customHeight="true" outlineLevel="0" collapsed="false">
      <c r="A10" s="17" t="n">
        <v>2</v>
      </c>
      <c r="B10" s="32"/>
      <c r="C10" s="17" t="str">
        <f aca="false">IFERROR(INDEX(価格表!$D$9:$D$53,MATCH($B10,価格表!$C$9:$C$53,0)),"")</f>
        <v/>
      </c>
      <c r="D10" s="33"/>
      <c r="E10" s="34" t="str">
        <f aca="false">IF($B10="","",IFERROR(INDEX(価格表!$E$9:$G$53,MATCH($B10,価格表!$C$9:$C$53,0),MATCH($B$4,価格表!$E$7:$G$7,0)),""))</f>
        <v/>
      </c>
      <c r="F10" s="34" t="str">
        <f aca="false">IF(OR($B10="",$D10=""),"",IFERROR($D10*$E10,""))</f>
        <v/>
      </c>
      <c r="G10" s="32"/>
    </row>
    <row r="11" customFormat="false" ht="18" hidden="false" customHeight="true" outlineLevel="0" collapsed="false">
      <c r="A11" s="17" t="n">
        <v>3</v>
      </c>
      <c r="B11" s="32"/>
      <c r="C11" s="17" t="str">
        <f aca="false">IFERROR(INDEX(価格表!$D$9:$D$53,MATCH($B11,価格表!$C$9:$C$53,0)),"")</f>
        <v/>
      </c>
      <c r="D11" s="33"/>
      <c r="E11" s="34" t="str">
        <f aca="false">IF($B11="","",IFERROR(INDEX(価格表!$E$9:$G$53,MATCH($B11,価格表!$C$9:$C$53,0),MATCH($B$4,価格表!$E$7:$G$7,0)),""))</f>
        <v/>
      </c>
      <c r="F11" s="34" t="str">
        <f aca="false">IF(OR($B11="",$D11=""),"",IFERROR($D11*$E11,""))</f>
        <v/>
      </c>
      <c r="G11" s="32"/>
    </row>
    <row r="12" customFormat="false" ht="18" hidden="false" customHeight="true" outlineLevel="0" collapsed="false">
      <c r="A12" s="17" t="n">
        <v>4</v>
      </c>
      <c r="B12" s="32"/>
      <c r="C12" s="17" t="str">
        <f aca="false">IFERROR(INDEX(価格表!$D$9:$D$53,MATCH($B12,価格表!$C$9:$C$53,0)),"")</f>
        <v/>
      </c>
      <c r="D12" s="33"/>
      <c r="E12" s="34" t="str">
        <f aca="false">IF($B12="","",IFERROR(INDEX(価格表!$E$9:$G$53,MATCH($B12,価格表!$C$9:$C$53,0),MATCH($B$4,価格表!$E$7:$G$7,0)),""))</f>
        <v/>
      </c>
      <c r="F12" s="34" t="str">
        <f aca="false">IF(OR($B12="",$D12=""),"",IFERROR($D12*$E12,""))</f>
        <v/>
      </c>
      <c r="G12" s="32"/>
    </row>
    <row r="13" customFormat="false" ht="18" hidden="false" customHeight="true" outlineLevel="0" collapsed="false">
      <c r="A13" s="17" t="n">
        <v>5</v>
      </c>
      <c r="B13" s="32"/>
      <c r="C13" s="17" t="str">
        <f aca="false">IFERROR(INDEX(価格表!$D$9:$D$53,MATCH($B13,価格表!$C$9:$C$53,0)),"")</f>
        <v/>
      </c>
      <c r="D13" s="33"/>
      <c r="E13" s="34" t="str">
        <f aca="false">IF($B13="","",IFERROR(INDEX(価格表!$E$9:$G$53,MATCH($B13,価格表!$C$9:$C$53,0),MATCH($B$4,価格表!$E$7:$G$7,0)),""))</f>
        <v/>
      </c>
      <c r="F13" s="34" t="str">
        <f aca="false">IF(OR($B13="",$D13=""),"",IFERROR($D13*$E13,""))</f>
        <v/>
      </c>
      <c r="G13" s="32"/>
    </row>
    <row r="14" customFormat="false" ht="18" hidden="false" customHeight="true" outlineLevel="0" collapsed="false">
      <c r="A14" s="17" t="n">
        <v>6</v>
      </c>
      <c r="B14" s="32"/>
      <c r="C14" s="17" t="str">
        <f aca="false">IFERROR(INDEX(価格表!$D$9:$D$53,MATCH($B14,価格表!$C$9:$C$53,0)),"")</f>
        <v/>
      </c>
      <c r="D14" s="33"/>
      <c r="E14" s="34" t="str">
        <f aca="false">IF($B14="","",IFERROR(INDEX(価格表!$E$9:$G$53,MATCH($B14,価格表!$C$9:$C$53,0),MATCH($B$4,価格表!$E$7:$G$7,0)),""))</f>
        <v/>
      </c>
      <c r="F14" s="34" t="str">
        <f aca="false">IF(OR($B14="",$D14=""),"",IFERROR($D14*$E14,""))</f>
        <v/>
      </c>
      <c r="G14" s="32"/>
    </row>
    <row r="15" customFormat="false" ht="18" hidden="false" customHeight="true" outlineLevel="0" collapsed="false">
      <c r="A15" s="17" t="n">
        <v>7</v>
      </c>
      <c r="B15" s="32"/>
      <c r="C15" s="17" t="str">
        <f aca="false">IFERROR(INDEX(価格表!$D$9:$D$53,MATCH($B15,価格表!$C$9:$C$53,0)),"")</f>
        <v/>
      </c>
      <c r="D15" s="33"/>
      <c r="E15" s="34" t="str">
        <f aca="false">IF($B15="","",IFERROR(INDEX(価格表!$E$9:$G$53,MATCH($B15,価格表!$C$9:$C$53,0),MATCH($B$4,価格表!$E$7:$G$7,0)),""))</f>
        <v/>
      </c>
      <c r="F15" s="34" t="str">
        <f aca="false">IF(OR($B15="",$D15=""),"",IFERROR($D15*$E15,""))</f>
        <v/>
      </c>
      <c r="G15" s="32"/>
    </row>
    <row r="16" customFormat="false" ht="18" hidden="false" customHeight="true" outlineLevel="0" collapsed="false">
      <c r="A16" s="17" t="n">
        <v>8</v>
      </c>
      <c r="B16" s="32"/>
      <c r="C16" s="17" t="str">
        <f aca="false">IFERROR(INDEX(価格表!$D$9:$D$53,MATCH($B16,価格表!$C$9:$C$53,0)),"")</f>
        <v/>
      </c>
      <c r="D16" s="33"/>
      <c r="E16" s="34" t="str">
        <f aca="false">IF($B16="","",IFERROR(INDEX(価格表!$E$9:$G$53,MATCH($B16,価格表!$C$9:$C$53,0),MATCH($B$4,価格表!$E$7:$G$7,0)),""))</f>
        <v/>
      </c>
      <c r="F16" s="34" t="str">
        <f aca="false">IF(OR($B16="",$D16=""),"",IFERROR($D16*$E16,""))</f>
        <v/>
      </c>
      <c r="G16" s="32"/>
    </row>
    <row r="17" customFormat="false" ht="18" hidden="false" customHeight="true" outlineLevel="0" collapsed="false">
      <c r="A17" s="17" t="n">
        <v>9</v>
      </c>
      <c r="B17" s="32"/>
      <c r="C17" s="17" t="str">
        <f aca="false">IFERROR(INDEX(価格表!$D$9:$D$53,MATCH($B17,価格表!$C$9:$C$53,0)),"")</f>
        <v/>
      </c>
      <c r="D17" s="33"/>
      <c r="E17" s="34" t="str">
        <f aca="false">IF($B17="","",IFERROR(INDEX(価格表!$E$9:$G$53,MATCH($B17,価格表!$C$9:$C$53,0),MATCH($B$4,価格表!$E$7:$G$7,0)),""))</f>
        <v/>
      </c>
      <c r="F17" s="34" t="str">
        <f aca="false">IF(OR($B17="",$D17=""),"",IFERROR($D17*$E17,""))</f>
        <v/>
      </c>
      <c r="G17" s="32"/>
    </row>
    <row r="18" customFormat="false" ht="18" hidden="false" customHeight="true" outlineLevel="0" collapsed="false">
      <c r="A18" s="17" t="n">
        <v>10</v>
      </c>
      <c r="B18" s="32"/>
      <c r="C18" s="17" t="str">
        <f aca="false">IFERROR(INDEX(価格表!$D$9:$D$53,MATCH($B18,価格表!$C$9:$C$53,0)),"")</f>
        <v/>
      </c>
      <c r="D18" s="33"/>
      <c r="E18" s="34" t="str">
        <f aca="false">IF($B18="","",IFERROR(INDEX(価格表!$E$9:$G$53,MATCH($B18,価格表!$C$9:$C$53,0),MATCH($B$4,価格表!$E$7:$G$7,0)),""))</f>
        <v/>
      </c>
      <c r="F18" s="34" t="str">
        <f aca="false">IF(OR($B18="",$D18=""),"",IFERROR($D18*$E18,""))</f>
        <v/>
      </c>
      <c r="G18" s="32"/>
    </row>
    <row r="19" customFormat="false" ht="18" hidden="false" customHeight="true" outlineLevel="0" collapsed="false">
      <c r="A19" s="17" t="n">
        <v>11</v>
      </c>
      <c r="B19" s="32"/>
      <c r="C19" s="17" t="str">
        <f aca="false">IFERROR(INDEX(価格表!$D$9:$D$53,MATCH($B19,価格表!$C$9:$C$53,0)),"")</f>
        <v/>
      </c>
      <c r="D19" s="33"/>
      <c r="E19" s="34" t="str">
        <f aca="false">IF($B19="","",IFERROR(INDEX(価格表!$E$9:$G$53,MATCH($B19,価格表!$C$9:$C$53,0),MATCH($B$4,価格表!$E$7:$G$7,0)),""))</f>
        <v/>
      </c>
      <c r="F19" s="34" t="str">
        <f aca="false">IF(OR($B19="",$D19=""),"",IFERROR($D19*$E19,""))</f>
        <v/>
      </c>
      <c r="G19" s="32"/>
    </row>
    <row r="20" customFormat="false" ht="18" hidden="false" customHeight="true" outlineLevel="0" collapsed="false">
      <c r="A20" s="17" t="n">
        <v>12</v>
      </c>
      <c r="B20" s="32"/>
      <c r="C20" s="17" t="str">
        <f aca="false">IFERROR(INDEX(価格表!$D$9:$D$53,MATCH($B20,価格表!$C$9:$C$53,0)),"")</f>
        <v/>
      </c>
      <c r="D20" s="33"/>
      <c r="E20" s="34" t="str">
        <f aca="false">IF($B20="","",IFERROR(INDEX(価格表!$E$9:$G$53,MATCH($B20,価格表!$C$9:$C$53,0),MATCH($B$4,価格表!$E$7:$G$7,0)),""))</f>
        <v/>
      </c>
      <c r="F20" s="34" t="str">
        <f aca="false">IF(OR($B20="",$D20=""),"",IFERROR($D20*$E20,""))</f>
        <v/>
      </c>
      <c r="G20" s="32"/>
    </row>
    <row r="21" customFormat="false" ht="18" hidden="false" customHeight="true" outlineLevel="0" collapsed="false">
      <c r="A21" s="17" t="n">
        <v>13</v>
      </c>
      <c r="B21" s="32"/>
      <c r="C21" s="17" t="str">
        <f aca="false">IFERROR(INDEX(価格表!$D$9:$D$53,MATCH($B21,価格表!$C$9:$C$53,0)),"")</f>
        <v/>
      </c>
      <c r="D21" s="33"/>
      <c r="E21" s="34" t="str">
        <f aca="false">IF($B21="","",IFERROR(INDEX(価格表!$E$9:$G$53,MATCH($B21,価格表!$C$9:$C$53,0),MATCH($B$4,価格表!$E$7:$G$7,0)),""))</f>
        <v/>
      </c>
      <c r="F21" s="34" t="str">
        <f aca="false">IF(OR($B21="",$D21=""),"",IFERROR($D21*$E21,""))</f>
        <v/>
      </c>
      <c r="G21" s="32"/>
    </row>
    <row r="22" customFormat="false" ht="18" hidden="false" customHeight="true" outlineLevel="0" collapsed="false">
      <c r="A22" s="17" t="n">
        <v>14</v>
      </c>
      <c r="B22" s="32"/>
      <c r="C22" s="17" t="str">
        <f aca="false">IFERROR(INDEX(価格表!$D$9:$D$53,MATCH($B22,価格表!$C$9:$C$53,0)),"")</f>
        <v/>
      </c>
      <c r="D22" s="33"/>
      <c r="E22" s="34" t="str">
        <f aca="false">IF($B22="","",IFERROR(INDEX(価格表!$E$9:$G$53,MATCH($B22,価格表!$C$9:$C$53,0),MATCH($B$4,価格表!$E$7:$G$7,0)),""))</f>
        <v/>
      </c>
      <c r="F22" s="34" t="str">
        <f aca="false">IF(OR($B22="",$D22=""),"",IFERROR($D22*$E22,""))</f>
        <v/>
      </c>
      <c r="G22" s="32"/>
    </row>
    <row r="23" customFormat="false" ht="18" hidden="false" customHeight="true" outlineLevel="0" collapsed="false">
      <c r="A23" s="17" t="n">
        <v>15</v>
      </c>
      <c r="B23" s="32"/>
      <c r="C23" s="17" t="str">
        <f aca="false">IFERROR(INDEX(価格表!$D$9:$D$53,MATCH($B23,価格表!$C$9:$C$53,0)),"")</f>
        <v/>
      </c>
      <c r="D23" s="33"/>
      <c r="E23" s="34" t="str">
        <f aca="false">IF($B23="","",IFERROR(INDEX(価格表!$E$9:$G$53,MATCH($B23,価格表!$C$9:$C$53,0),MATCH($B$4,価格表!$E$7:$G$7,0)),""))</f>
        <v/>
      </c>
      <c r="F23" s="34" t="str">
        <f aca="false">IF(OR($B23="",$D23=""),"",IFERROR($D23*$E23,""))</f>
        <v/>
      </c>
      <c r="G23" s="32"/>
    </row>
    <row r="24" customFormat="false" ht="18" hidden="false" customHeight="true" outlineLevel="0" collapsed="false">
      <c r="A24" s="17" t="n">
        <v>16</v>
      </c>
      <c r="B24" s="32"/>
      <c r="C24" s="17" t="str">
        <f aca="false">IFERROR(INDEX(価格表!$D$9:$D$53,MATCH($B24,価格表!$C$9:$C$53,0)),"")</f>
        <v/>
      </c>
      <c r="D24" s="33"/>
      <c r="E24" s="34" t="str">
        <f aca="false">IF($B24="","",IFERROR(INDEX(価格表!$E$9:$G$53,MATCH($B24,価格表!$C$9:$C$53,0),MATCH($B$4,価格表!$E$7:$G$7,0)),""))</f>
        <v/>
      </c>
      <c r="F24" s="34" t="str">
        <f aca="false">IF(OR($B24="",$D24=""),"",IFERROR($D24*$E24,""))</f>
        <v/>
      </c>
      <c r="G24" s="32"/>
    </row>
    <row r="25" customFormat="false" ht="18" hidden="false" customHeight="true" outlineLevel="0" collapsed="false">
      <c r="A25" s="17" t="n">
        <v>17</v>
      </c>
      <c r="B25" s="32"/>
      <c r="C25" s="17" t="str">
        <f aca="false">IFERROR(INDEX(価格表!$D$9:$D$53,MATCH($B25,価格表!$C$9:$C$53,0)),"")</f>
        <v/>
      </c>
      <c r="D25" s="33"/>
      <c r="E25" s="34" t="str">
        <f aca="false">IF($B25="","",IFERROR(INDEX(価格表!$E$9:$G$53,MATCH($B25,価格表!$C$9:$C$53,0),MATCH($B$4,価格表!$E$7:$G$7,0)),""))</f>
        <v/>
      </c>
      <c r="F25" s="34" t="str">
        <f aca="false">IF(OR($B25="",$D25=""),"",IFERROR($D25*$E25,""))</f>
        <v/>
      </c>
      <c r="G25" s="32"/>
    </row>
    <row r="26" customFormat="false" ht="18" hidden="false" customHeight="true" outlineLevel="0" collapsed="false">
      <c r="A26" s="17" t="n">
        <v>18</v>
      </c>
      <c r="B26" s="32"/>
      <c r="C26" s="17" t="str">
        <f aca="false">IFERROR(INDEX(価格表!$D$9:$D$53,MATCH($B26,価格表!$C$9:$C$53,0)),"")</f>
        <v/>
      </c>
      <c r="D26" s="33"/>
      <c r="E26" s="34" t="str">
        <f aca="false">IF($B26="","",IFERROR(INDEX(価格表!$E$9:$G$53,MATCH($B26,価格表!$C$9:$C$53,0),MATCH($B$4,価格表!$E$7:$G$7,0)),""))</f>
        <v/>
      </c>
      <c r="F26" s="34" t="str">
        <f aca="false">IF(OR($B26="",$D26=""),"",IFERROR($D26*$E26,""))</f>
        <v/>
      </c>
      <c r="G26" s="32"/>
    </row>
    <row r="27" customFormat="false" ht="18" hidden="false" customHeight="true" outlineLevel="0" collapsed="false">
      <c r="A27" s="17" t="n">
        <v>19</v>
      </c>
      <c r="B27" s="32"/>
      <c r="C27" s="17" t="str">
        <f aca="false">IFERROR(INDEX(価格表!$D$9:$D$53,MATCH($B27,価格表!$C$9:$C$53,0)),"")</f>
        <v/>
      </c>
      <c r="D27" s="33"/>
      <c r="E27" s="34" t="str">
        <f aca="false">IF($B27="","",IFERROR(INDEX(価格表!$E$9:$G$53,MATCH($B27,価格表!$C$9:$C$53,0),MATCH($B$4,価格表!$E$7:$G$7,0)),""))</f>
        <v/>
      </c>
      <c r="F27" s="34" t="str">
        <f aca="false">IF(OR($B27="",$D27=""),"",IFERROR($D27*$E27,""))</f>
        <v/>
      </c>
      <c r="G27" s="32"/>
    </row>
    <row r="28" customFormat="false" ht="18" hidden="false" customHeight="true" outlineLevel="0" collapsed="false">
      <c r="A28" s="17" t="n">
        <v>20</v>
      </c>
      <c r="B28" s="32"/>
      <c r="C28" s="17" t="str">
        <f aca="false">IFERROR(INDEX(価格表!$D$9:$D$53,MATCH($B28,価格表!$C$9:$C$53,0)),"")</f>
        <v/>
      </c>
      <c r="D28" s="33"/>
      <c r="E28" s="34" t="str">
        <f aca="false">IF($B28="","",IFERROR(INDEX(価格表!$E$9:$G$53,MATCH($B28,価格表!$C$9:$C$53,0),MATCH($B$4,価格表!$E$7:$G$7,0)),""))</f>
        <v/>
      </c>
      <c r="F28" s="34" t="str">
        <f aca="false">IF(OR($B28="",$D28=""),"",IFERROR($D28*$E28,""))</f>
        <v/>
      </c>
      <c r="G28" s="32"/>
    </row>
    <row r="30" customFormat="false" ht="15" hidden="false" customHeight="false" outlineLevel="0" collapsed="false">
      <c r="E30" s="35" t="s">
        <v>118</v>
      </c>
      <c r="F30" s="36" t="n">
        <f aca="false">SUM(F9:F28)</f>
        <v>0</v>
      </c>
    </row>
    <row r="31" customFormat="false" ht="15" hidden="false" customHeight="false" outlineLevel="0" collapsed="false">
      <c r="E31" s="35" t="s">
        <v>119</v>
      </c>
      <c r="F31" s="36" t="n">
        <f aca="false">ROUND(F30*$E$5,0)</f>
        <v>0</v>
      </c>
    </row>
    <row r="32" customFormat="false" ht="15" hidden="false" customHeight="false" outlineLevel="0" collapsed="false">
      <c r="E32" s="35" t="s">
        <v>120</v>
      </c>
      <c r="F32" s="37" t="n">
        <f aca="false">F30+F31</f>
        <v>0</v>
      </c>
    </row>
    <row r="34" customFormat="false" ht="15" hidden="false" customHeight="false" outlineLevel="0" collapsed="false">
      <c r="A34" s="7" t="s">
        <v>121</v>
      </c>
    </row>
    <row r="35" customFormat="false" ht="15" hidden="false" customHeight="false" outlineLevel="0" collapsed="false">
      <c r="A35" s="7" t="s">
        <v>122</v>
      </c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B4" type="list">
      <formula1>"普通車,2tトラック,4tトラック"</formula1>
      <formula2>0</formula2>
    </dataValidation>
    <dataValidation allowBlank="true" errorStyle="stop" operator="between" showDropDown="false" showErrorMessage="false" showInputMessage="false" sqref="B9:B28" type="list">
      <formula1>価格表!$C$9:$C$53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2026-08-19T00:27:50Z</dcterms:created>
  <dc:creator>openpyxl</dc:creator>
  <dc:description/>
  <dc:language>en-US</dc:language>
  <cp:lastModifiedBy/>
  <dcterms:modified xsi:type="dcterms:W3CDTF">2026-08-19T00:27:50Z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